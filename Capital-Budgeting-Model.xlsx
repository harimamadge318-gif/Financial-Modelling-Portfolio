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 Forecast" sheetId="2" state="visible" r:id="rId2"/>
    <sheet xmlns:r="http://schemas.openxmlformats.org/officeDocument/2006/relationships" name="Cost Forecast" sheetId="3" state="visible" r:id="rId3"/>
    <sheet xmlns:r="http://schemas.openxmlformats.org/officeDocument/2006/relationships" name="Free Cash Flow" sheetId="4" state="visible" r:id="rId4"/>
    <sheet xmlns:r="http://schemas.openxmlformats.org/officeDocument/2006/relationships" name="NPV &amp; IR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10" fontId="0" fillId="0" borderId="1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Project Assumptions</t>
        </is>
      </c>
    </row>
    <row r="3">
      <c r="A3" s="2" t="inlineStr">
        <is>
          <t>Item</t>
        </is>
      </c>
      <c r="B3" s="2" t="inlineStr">
        <is>
          <t>Value</t>
        </is>
      </c>
    </row>
    <row r="4">
      <c r="A4" s="3" t="inlineStr">
        <is>
          <t>Initial investment (plant &amp; machinery)</t>
        </is>
      </c>
      <c r="B4" s="3" t="n">
        <v>25000000</v>
      </c>
    </row>
    <row r="5">
      <c r="A5" s="3" t="inlineStr">
        <is>
          <t>Project life (years)</t>
        </is>
      </c>
      <c r="B5" s="3" t="n">
        <v>5</v>
      </c>
    </row>
    <row r="6">
      <c r="A6" s="3" t="inlineStr">
        <is>
          <t>Units sold Year 1 (packs)</t>
        </is>
      </c>
      <c r="B6" s="3" t="n">
        <v>80000</v>
      </c>
    </row>
    <row r="7">
      <c r="A7" s="3" t="inlineStr">
        <is>
          <t>Annual sales growth</t>
        </is>
      </c>
      <c r="B7" s="4" t="n">
        <v>0.12</v>
      </c>
    </row>
    <row r="8">
      <c r="A8" s="3" t="inlineStr">
        <is>
          <t>Selling price per pack</t>
        </is>
      </c>
      <c r="B8" s="3" t="n">
        <v>220</v>
      </c>
    </row>
    <row r="9">
      <c r="A9" s="3" t="inlineStr">
        <is>
          <t>Variable cost per pack</t>
        </is>
      </c>
      <c r="B9" s="3" t="n">
        <v>130</v>
      </c>
    </row>
    <row r="10">
      <c r="A10" s="3" t="inlineStr">
        <is>
          <t>Fixed operating cost/year</t>
        </is>
      </c>
      <c r="B10" s="3" t="n">
        <v>4500000</v>
      </c>
    </row>
    <row r="11">
      <c r="A11" s="3" t="inlineStr">
        <is>
          <t>Tax rate</t>
        </is>
      </c>
      <c r="B11" s="4" t="n">
        <v>0.25</v>
      </c>
    </row>
    <row r="12">
      <c r="A12" s="3" t="inlineStr">
        <is>
          <t>Working capital (% of revenue)</t>
        </is>
      </c>
      <c r="B12" s="4" t="n">
        <v>0.1</v>
      </c>
    </row>
    <row r="13">
      <c r="A13" s="3" t="inlineStr">
        <is>
          <t>Discount rate (WACC)</t>
        </is>
      </c>
      <c r="B13" s="3" t="n">
        <v>0.12</v>
      </c>
    </row>
    <row r="14">
      <c r="A14" s="3" t="inlineStr">
        <is>
          <t>Salvage value (end of year 5)</t>
        </is>
      </c>
      <c r="B14" s="3" t="n">
        <v>4000000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Revenue Forecast</t>
        </is>
      </c>
    </row>
    <row r="3">
      <c r="A3" s="5" t="inlineStr">
        <is>
          <t>Year</t>
        </is>
      </c>
      <c r="B3" s="5" t="inlineStr">
        <is>
          <t>Units Sold</t>
        </is>
      </c>
      <c r="C3" s="5" t="inlineStr">
        <is>
          <t>Price per Unit</t>
        </is>
      </c>
      <c r="D3" s="5" t="inlineStr">
        <is>
          <t>Revenue</t>
        </is>
      </c>
    </row>
    <row r="4">
      <c r="A4" s="3" t="n">
        <v>1</v>
      </c>
      <c r="B4" s="3">
        <f>Assumptions!B6</f>
        <v/>
      </c>
      <c r="C4" s="3">
        <f>Assumptions!B8</f>
        <v/>
      </c>
      <c r="D4" s="3">
        <f>B4*C4</f>
        <v/>
      </c>
    </row>
    <row r="5">
      <c r="A5" s="3" t="n">
        <v>2</v>
      </c>
      <c r="B5" s="3">
        <f>B4*(1+Assumptions!B7)</f>
        <v/>
      </c>
      <c r="C5" s="3">
        <f>Assumptions!B8</f>
        <v/>
      </c>
      <c r="D5" s="3">
        <f>B5*C5</f>
        <v/>
      </c>
    </row>
    <row r="6">
      <c r="A6" s="3" t="n">
        <v>3</v>
      </c>
      <c r="B6" s="3">
        <f>B5*(1+Assumptions!B7)</f>
        <v/>
      </c>
      <c r="C6" s="3">
        <f>Assumptions!B8</f>
        <v/>
      </c>
      <c r="D6" s="3">
        <f>B6*C6</f>
        <v/>
      </c>
    </row>
    <row r="7">
      <c r="A7" s="3" t="n">
        <v>4</v>
      </c>
      <c r="B7" s="3">
        <f>B6*(1+Assumptions!B7)</f>
        <v/>
      </c>
      <c r="C7" s="3">
        <f>Assumptions!B8</f>
        <v/>
      </c>
      <c r="D7" s="3">
        <f>B7*C7</f>
        <v/>
      </c>
    </row>
    <row r="8">
      <c r="A8" s="3" t="n">
        <v>5</v>
      </c>
      <c r="B8" s="3">
        <f>B7*(1+Assumptions!B7)</f>
        <v/>
      </c>
      <c r="C8" s="3">
        <f>Assumptions!B8</f>
        <v/>
      </c>
      <c r="D8" s="3">
        <f>B8*C8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  <col width="18" customWidth="1" min="8" max="8"/>
  </cols>
  <sheetData>
    <row r="1">
      <c r="A1" s="1" t="inlineStr">
        <is>
          <t>Cost Forecast</t>
        </is>
      </c>
    </row>
    <row r="3">
      <c r="A3" s="5" t="inlineStr">
        <is>
          <t>Year</t>
        </is>
      </c>
      <c r="B3" s="5" t="inlineStr">
        <is>
          <t>Revenue</t>
        </is>
      </c>
      <c r="C3" s="5" t="inlineStr">
        <is>
          <t>Variable Cost</t>
        </is>
      </c>
      <c r="D3" s="5" t="inlineStr">
        <is>
          <t>Fixed Cost</t>
        </is>
      </c>
      <c r="E3" s="5" t="inlineStr">
        <is>
          <t>Depreciation</t>
        </is>
      </c>
      <c r="F3" s="5" t="inlineStr">
        <is>
          <t>EBIT</t>
        </is>
      </c>
      <c r="G3" s="5" t="inlineStr">
        <is>
          <t>Tax</t>
        </is>
      </c>
      <c r="H3" s="5" t="inlineStr">
        <is>
          <t>EBIT After Tax</t>
        </is>
      </c>
    </row>
    <row r="4">
      <c r="A4" s="3" t="n">
        <v>1</v>
      </c>
      <c r="B4" s="3">
        <f>'Revenue Forecast'!D4</f>
        <v/>
      </c>
      <c r="C4" s="3">
        <f>'Revenue Forecast'!B4*Assumptions!B9</f>
        <v/>
      </c>
      <c r="D4" s="3">
        <f>Assumptions!B10</f>
        <v/>
      </c>
      <c r="E4" s="3">
        <f>(Assumptions!B4-Assumptions!B13)/Assumptions!B5</f>
        <v/>
      </c>
      <c r="F4" s="3">
        <f>B4-C4-D4-E4</f>
        <v/>
      </c>
      <c r="G4" s="3">
        <f>IF(F4&gt;0,F4*Assumptions!B11,0)</f>
        <v/>
      </c>
      <c r="H4" s="3">
        <f>F4-G4</f>
        <v/>
      </c>
    </row>
    <row r="5">
      <c r="A5" s="3" t="n">
        <v>2</v>
      </c>
      <c r="B5" s="3">
        <f>'Revenue Forecast'!D5</f>
        <v/>
      </c>
      <c r="C5" s="3">
        <f>'Revenue Forecast'!B5*Assumptions!B9</f>
        <v/>
      </c>
      <c r="D5" s="3">
        <f>Assumptions!B10</f>
        <v/>
      </c>
      <c r="E5" s="3">
        <f>(Assumptions!B4-Assumptions!B13)/Assumptions!B5</f>
        <v/>
      </c>
      <c r="F5" s="3">
        <f>B5-C5-D5-E5</f>
        <v/>
      </c>
      <c r="G5" s="3">
        <f>IF(F5&gt;0,F5*Assumptions!B11,0)</f>
        <v/>
      </c>
      <c r="H5" s="3">
        <f>F5-G5</f>
        <v/>
      </c>
    </row>
    <row r="6">
      <c r="A6" s="3" t="n">
        <v>3</v>
      </c>
      <c r="B6" s="3">
        <f>'Revenue Forecast'!D6</f>
        <v/>
      </c>
      <c r="C6" s="3">
        <f>'Revenue Forecast'!B6*Assumptions!B9</f>
        <v/>
      </c>
      <c r="D6" s="3">
        <f>Assumptions!B10</f>
        <v/>
      </c>
      <c r="E6" s="3">
        <f>(Assumptions!B4-Assumptions!B13)/Assumptions!B5</f>
        <v/>
      </c>
      <c r="F6" s="3">
        <f>B6-C6-D6-E6</f>
        <v/>
      </c>
      <c r="G6" s="3">
        <f>IF(F6&gt;0,F6*Assumptions!B11,0)</f>
        <v/>
      </c>
      <c r="H6" s="3">
        <f>F6-G6</f>
        <v/>
      </c>
    </row>
    <row r="7">
      <c r="A7" s="3" t="n">
        <v>4</v>
      </c>
      <c r="B7" s="3">
        <f>'Revenue Forecast'!D7</f>
        <v/>
      </c>
      <c r="C7" s="3">
        <f>'Revenue Forecast'!B7*Assumptions!B9</f>
        <v/>
      </c>
      <c r="D7" s="3">
        <f>Assumptions!B10</f>
        <v/>
      </c>
      <c r="E7" s="3">
        <f>(Assumptions!B4-Assumptions!B13)/Assumptions!B5</f>
        <v/>
      </c>
      <c r="F7" s="3">
        <f>B7-C7-D7-E7</f>
        <v/>
      </c>
      <c r="G7" s="3">
        <f>IF(F7&gt;0,F7*Assumptions!B11,0)</f>
        <v/>
      </c>
      <c r="H7" s="3">
        <f>F7-G7</f>
        <v/>
      </c>
    </row>
    <row r="8">
      <c r="A8" s="3" t="n">
        <v>5</v>
      </c>
      <c r="B8" s="3">
        <f>'Revenue Forecast'!D8</f>
        <v/>
      </c>
      <c r="C8" s="3">
        <f>'Revenue Forecast'!B8*Assumptions!B9</f>
        <v/>
      </c>
      <c r="D8" s="3">
        <f>Assumptions!B10</f>
        <v/>
      </c>
      <c r="E8" s="3">
        <f>(Assumptions!B4-Assumptions!B13)/Assumptions!B5</f>
        <v/>
      </c>
      <c r="F8" s="3">
        <f>B8-C8-D8-E8</f>
        <v/>
      </c>
      <c r="G8" s="3">
        <f>IF(F8&gt;0,F8*Assumptions!B11,0)</f>
        <v/>
      </c>
      <c r="H8" s="3">
        <f>F8-G8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8" max="8"/>
  </cols>
  <sheetData>
    <row r="1">
      <c r="A1" s="1" t="inlineStr">
        <is>
          <t>Free Cash Flow Calculation</t>
        </is>
      </c>
    </row>
    <row r="3">
      <c r="A3" s="5" t="inlineStr">
        <is>
          <t>Year</t>
        </is>
      </c>
      <c r="B3" s="5" t="inlineStr">
        <is>
          <t>EBIT After Tax</t>
        </is>
      </c>
      <c r="C3" s="5" t="inlineStr">
        <is>
          <t>Depreciation</t>
        </is>
      </c>
      <c r="D3" s="5" t="inlineStr">
        <is>
          <t>Working Capital</t>
        </is>
      </c>
      <c r="E3" s="5" t="inlineStr">
        <is>
          <t>Change in WC</t>
        </is>
      </c>
      <c r="F3" s="5" t="inlineStr">
        <is>
          <t>Capex</t>
        </is>
      </c>
      <c r="G3" s="5" t="inlineStr">
        <is>
          <t>Salvage</t>
        </is>
      </c>
      <c r="H3" s="5" t="inlineStr">
        <is>
          <t>Free Cash Flow</t>
        </is>
      </c>
    </row>
    <row r="4">
      <c r="A4" t="n">
        <v>0</v>
      </c>
      <c r="D4">
        <f>'Revenue Forecast'!D4*Assumptions!B12</f>
        <v/>
      </c>
      <c r="E4">
        <f>D4</f>
        <v/>
      </c>
      <c r="F4">
        <f>-Assumptions!B4</f>
        <v/>
      </c>
      <c r="G4" t="n">
        <v>0</v>
      </c>
      <c r="H4">
        <f>-D4+F4</f>
        <v/>
      </c>
    </row>
    <row r="5">
      <c r="A5" s="3" t="n">
        <v>1</v>
      </c>
      <c r="B5" s="3">
        <f>'Cost Forecast'!H4</f>
        <v/>
      </c>
      <c r="C5" s="3">
        <f>'Cost Forecast'!E4</f>
        <v/>
      </c>
      <c r="D5" s="3">
        <f>'Revenue Forecast'!D4*Assumptions!B12</f>
        <v/>
      </c>
      <c r="E5" s="3">
        <f>D5-D4</f>
        <v/>
      </c>
      <c r="F5" s="3" t="n">
        <v>0</v>
      </c>
      <c r="G5" s="3" t="n">
        <v>0</v>
      </c>
      <c r="H5" s="3">
        <f>B5+C5-E5+G5</f>
        <v/>
      </c>
    </row>
    <row r="6">
      <c r="A6" s="3" t="n">
        <v>2</v>
      </c>
      <c r="B6" s="3">
        <f>'Cost Forecast'!H5</f>
        <v/>
      </c>
      <c r="C6" s="3">
        <f>'Cost Forecast'!E5</f>
        <v/>
      </c>
      <c r="D6" s="3">
        <f>'Revenue Forecast'!D5*Assumptions!B12</f>
        <v/>
      </c>
      <c r="E6" s="3">
        <f>D6-D5</f>
        <v/>
      </c>
      <c r="F6" s="3" t="n">
        <v>0</v>
      </c>
      <c r="G6" s="3" t="n">
        <v>0</v>
      </c>
      <c r="H6" s="3">
        <f>B6+C6-E6+G6</f>
        <v/>
      </c>
    </row>
    <row r="7">
      <c r="A7" s="3" t="n">
        <v>3</v>
      </c>
      <c r="B7" s="3">
        <f>'Cost Forecast'!H6</f>
        <v/>
      </c>
      <c r="C7" s="3">
        <f>'Cost Forecast'!E6</f>
        <v/>
      </c>
      <c r="D7" s="3">
        <f>'Revenue Forecast'!D6*Assumptions!B12</f>
        <v/>
      </c>
      <c r="E7" s="3">
        <f>D7-D6</f>
        <v/>
      </c>
      <c r="F7" s="3" t="n">
        <v>0</v>
      </c>
      <c r="G7" s="3" t="n">
        <v>0</v>
      </c>
      <c r="H7" s="3">
        <f>B7+C7-E7+G7</f>
        <v/>
      </c>
    </row>
    <row r="8">
      <c r="A8" s="3" t="n">
        <v>4</v>
      </c>
      <c r="B8" s="3">
        <f>'Cost Forecast'!H7</f>
        <v/>
      </c>
      <c r="C8" s="3">
        <f>'Cost Forecast'!E7</f>
        <v/>
      </c>
      <c r="D8" s="3">
        <f>'Revenue Forecast'!D7*Assumptions!B12</f>
        <v/>
      </c>
      <c r="E8" s="3">
        <f>D8-D7</f>
        <v/>
      </c>
      <c r="F8" s="3" t="n">
        <v>0</v>
      </c>
      <c r="G8" s="3" t="n">
        <v>0</v>
      </c>
      <c r="H8" s="3">
        <f>B8+C8-E8+G8</f>
        <v/>
      </c>
    </row>
    <row r="9">
      <c r="A9" s="3" t="n">
        <v>5</v>
      </c>
      <c r="B9" s="3">
        <f>'Cost Forecast'!H8</f>
        <v/>
      </c>
      <c r="C9" s="3">
        <f>'Cost Forecast'!E8</f>
        <v/>
      </c>
      <c r="D9" s="3">
        <f>'Revenue Forecast'!D8*Assumptions!B12</f>
        <v/>
      </c>
      <c r="E9" s="3">
        <f>D9-D8</f>
        <v/>
      </c>
      <c r="F9" s="3" t="n">
        <v>0</v>
      </c>
      <c r="G9" s="3">
        <f>Assumptions!B13+D9</f>
        <v/>
      </c>
      <c r="H9" s="3">
        <f>B9+C9-E9+G9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Investment Decision</t>
        </is>
      </c>
    </row>
    <row r="3">
      <c r="A3" t="inlineStr">
        <is>
          <t>NPV</t>
        </is>
      </c>
      <c r="B3">
        <f>NPV(Assumptions!B12,'Free Cash Flow'!H5:H9)+'Free Cash Flow'!H4</f>
        <v/>
      </c>
    </row>
    <row r="4">
      <c r="A4" t="inlineStr">
        <is>
          <t>IRR</t>
        </is>
      </c>
      <c r="B4">
        <f>IRR('Free Cash Flow'!H4:H9)</f>
        <v/>
      </c>
    </row>
    <row r="6">
      <c r="A6" t="inlineStr">
        <is>
          <t>Decision Rule</t>
        </is>
      </c>
    </row>
    <row r="7">
      <c r="A7" t="inlineStr">
        <is>
          <t>Accept if NPV &gt; 0 and IRR &gt; WACC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2026-02-18T12:43:18Z</dcterms:created>
  <dcterms:modified xmlns:dcterms="http://purl.org/dc/terms/" xmlns:xsi="http://www.w3.org/2001/XMLSchema-instance" xsi:type="dcterms:W3CDTF">2026-02-18T12:43:18Z</dcterms:modified>
</cp:coreProperties>
</file>