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ummary" sheetId="3" state="visible" r:id="rId3"/>
    <sheet xmlns:r="http://schemas.openxmlformats.org/officeDocument/2006/relationships" name="Ratio Analysis" sheetId="4" state="visible" r:id="rId4"/>
    <sheet xmlns:r="http://schemas.openxmlformats.org/officeDocument/2006/relationships" name="DuPo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Income Statement (Enter data in blue rows)</t>
        </is>
      </c>
    </row>
    <row r="3">
      <c r="A3" s="2" t="inlineStr">
        <is>
          <t>Item</t>
        </is>
      </c>
      <c r="B3" s="2" t="inlineStr">
        <is>
          <t>Y-4</t>
        </is>
      </c>
      <c r="C3" s="2" t="inlineStr">
        <is>
          <t>Y-3</t>
        </is>
      </c>
      <c r="D3" s="2" t="inlineStr">
        <is>
          <t>Y-2</t>
        </is>
      </c>
      <c r="E3" s="2" t="inlineStr">
        <is>
          <t>Y-1</t>
        </is>
      </c>
      <c r="F3" s="2" t="inlineStr">
        <is>
          <t>Y</t>
        </is>
      </c>
    </row>
    <row r="4">
      <c r="A4" s="3" t="inlineStr">
        <is>
          <t>Revenue</t>
        </is>
      </c>
      <c r="B4" s="4" t="n"/>
      <c r="C4" s="4" t="n"/>
      <c r="D4" s="4" t="n"/>
      <c r="E4" s="4" t="n"/>
      <c r="F4" s="4" t="n"/>
    </row>
    <row r="5">
      <c r="A5" s="3" t="inlineStr">
        <is>
          <t>COGS</t>
        </is>
      </c>
      <c r="B5" s="4" t="n"/>
      <c r="C5" s="4" t="n"/>
      <c r="D5" s="4" t="n"/>
      <c r="E5" s="4" t="n"/>
      <c r="F5" s="4" t="n"/>
    </row>
    <row r="6">
      <c r="A6" s="3" t="inlineStr">
        <is>
          <t>Gross Profit</t>
        </is>
      </c>
      <c r="B6" s="4">
        <f>B4-B5</f>
        <v/>
      </c>
      <c r="C6" s="4">
        <f>C4-C5</f>
        <v/>
      </c>
      <c r="D6" s="4">
        <f>D4-D5</f>
        <v/>
      </c>
      <c r="E6" s="4">
        <f>E4-E5</f>
        <v/>
      </c>
      <c r="F6" s="4">
        <f>F4-F5</f>
        <v/>
      </c>
    </row>
    <row r="7">
      <c r="A7" s="3" t="inlineStr">
        <is>
          <t>Operating Expenses</t>
        </is>
      </c>
      <c r="B7" s="4" t="n"/>
      <c r="C7" s="4" t="n"/>
      <c r="D7" s="4" t="n"/>
      <c r="E7" s="4" t="n"/>
      <c r="F7" s="4" t="n"/>
    </row>
    <row r="8">
      <c r="A8" s="3" t="inlineStr">
        <is>
          <t>EBITDA</t>
        </is>
      </c>
      <c r="B8" s="4">
        <f>B6-B7</f>
        <v/>
      </c>
      <c r="C8" s="4">
        <f>C6-C7</f>
        <v/>
      </c>
      <c r="D8" s="4">
        <f>D6-D7</f>
        <v/>
      </c>
      <c r="E8" s="4">
        <f>E6-E7</f>
        <v/>
      </c>
      <c r="F8" s="4">
        <f>F6-F7</f>
        <v/>
      </c>
    </row>
    <row r="9">
      <c r="A9" s="3" t="inlineStr">
        <is>
          <t>Depreciation</t>
        </is>
      </c>
      <c r="B9" s="4" t="n"/>
      <c r="C9" s="4" t="n"/>
      <c r="D9" s="4" t="n"/>
      <c r="E9" s="4" t="n"/>
      <c r="F9" s="4" t="n"/>
    </row>
    <row r="10">
      <c r="A10" s="3" t="inlineStr">
        <is>
          <t>EBIT</t>
        </is>
      </c>
      <c r="B10" s="4">
        <f>B8-B9</f>
        <v/>
      </c>
      <c r="C10" s="4">
        <f>C8-C9</f>
        <v/>
      </c>
      <c r="D10" s="4">
        <f>D8-D9</f>
        <v/>
      </c>
      <c r="E10" s="4">
        <f>E8-E9</f>
        <v/>
      </c>
      <c r="F10" s="4">
        <f>F8-F9</f>
        <v/>
      </c>
    </row>
    <row r="11">
      <c r="A11" s="3" t="inlineStr">
        <is>
          <t>Interest Expense</t>
        </is>
      </c>
      <c r="B11" s="4" t="n"/>
      <c r="C11" s="4" t="n"/>
      <c r="D11" s="4" t="n"/>
      <c r="E11" s="4" t="n"/>
      <c r="F11" s="4" t="n"/>
    </row>
    <row r="12">
      <c r="A12" s="3" t="inlineStr">
        <is>
          <t>EBT</t>
        </is>
      </c>
      <c r="B12" s="4">
        <f>B10-B11</f>
        <v/>
      </c>
      <c r="C12" s="4">
        <f>C10-C11</f>
        <v/>
      </c>
      <c r="D12" s="4">
        <f>D10-D11</f>
        <v/>
      </c>
      <c r="E12" s="4">
        <f>E10-E11</f>
        <v/>
      </c>
      <c r="F12" s="4">
        <f>F10-F11</f>
        <v/>
      </c>
    </row>
    <row r="13">
      <c r="A13" s="3" t="inlineStr">
        <is>
          <t>Tax</t>
        </is>
      </c>
      <c r="B13" s="4" t="n"/>
      <c r="C13" s="4" t="n"/>
      <c r="D13" s="4" t="n"/>
      <c r="E13" s="4" t="n"/>
      <c r="F13" s="4" t="n"/>
    </row>
    <row r="14">
      <c r="A14" s="3" t="inlineStr">
        <is>
          <t>Net Income</t>
        </is>
      </c>
      <c r="B14" s="4">
        <f>B12-B13</f>
        <v/>
      </c>
      <c r="C14" s="4">
        <f>C12-C13</f>
        <v/>
      </c>
      <c r="D14" s="4">
        <f>D12-D13</f>
        <v/>
      </c>
      <c r="E14" s="4">
        <f>E12-E13</f>
        <v/>
      </c>
      <c r="F14" s="4">
        <f>F12-F13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Balance Sheet</t>
        </is>
      </c>
    </row>
    <row r="3">
      <c r="A3" s="2" t="inlineStr">
        <is>
          <t>Item</t>
        </is>
      </c>
      <c r="B3" s="2" t="inlineStr">
        <is>
          <t>Y-4</t>
        </is>
      </c>
      <c r="C3" s="2" t="inlineStr">
        <is>
          <t>Y-3</t>
        </is>
      </c>
      <c r="D3" s="2" t="inlineStr">
        <is>
          <t>Y-2</t>
        </is>
      </c>
      <c r="E3" s="2" t="inlineStr">
        <is>
          <t>Y-1</t>
        </is>
      </c>
      <c r="F3" s="2" t="inlineStr">
        <is>
          <t>Y</t>
        </is>
      </c>
    </row>
    <row r="4">
      <c r="A4" s="3" t="inlineStr">
        <is>
          <t>Cash</t>
        </is>
      </c>
      <c r="B4" s="4" t="n"/>
      <c r="C4" s="4" t="n"/>
      <c r="D4" s="4" t="n"/>
      <c r="E4" s="4" t="n"/>
      <c r="F4" s="4" t="n"/>
    </row>
    <row r="5">
      <c r="A5" s="3" t="inlineStr">
        <is>
          <t>Accounts Receivable</t>
        </is>
      </c>
      <c r="B5" s="4" t="n"/>
      <c r="C5" s="4" t="n"/>
      <c r="D5" s="4" t="n"/>
      <c r="E5" s="4" t="n"/>
      <c r="F5" s="4" t="n"/>
    </row>
    <row r="6">
      <c r="A6" s="3" t="inlineStr">
        <is>
          <t>Inventory</t>
        </is>
      </c>
      <c r="B6" s="4" t="n"/>
      <c r="C6" s="4" t="n"/>
      <c r="D6" s="4" t="n"/>
      <c r="E6" s="4" t="n"/>
      <c r="F6" s="4" t="n"/>
    </row>
    <row r="7">
      <c r="A7" s="3" t="inlineStr">
        <is>
          <t>Other Current Assets</t>
        </is>
      </c>
      <c r="B7" s="4" t="n"/>
      <c r="C7" s="4" t="n"/>
      <c r="D7" s="4" t="n"/>
      <c r="E7" s="4" t="n"/>
      <c r="F7" s="4" t="n"/>
    </row>
    <row r="8">
      <c r="A8" s="3" t="inlineStr">
        <is>
          <t>Total Current Assets</t>
        </is>
      </c>
      <c r="B8" s="4">
        <f>SUM(B4:B7)</f>
        <v/>
      </c>
      <c r="C8" s="4">
        <f>SUM(C4:C7)</f>
        <v/>
      </c>
      <c r="D8" s="4">
        <f>SUM(D4:D7)</f>
        <v/>
      </c>
      <c r="E8" s="4">
        <f>SUM(E4:E7)</f>
        <v/>
      </c>
      <c r="F8" s="4">
        <f>SUM(F4:F7)</f>
        <v/>
      </c>
    </row>
    <row r="9">
      <c r="A9" s="3" t="inlineStr">
        <is>
          <t>PP&amp;E</t>
        </is>
      </c>
      <c r="B9" s="4" t="n"/>
      <c r="C9" s="4" t="n"/>
      <c r="D9" s="4" t="n"/>
      <c r="E9" s="4" t="n"/>
      <c r="F9" s="4" t="n"/>
    </row>
    <row r="10">
      <c r="A10" s="3" t="inlineStr">
        <is>
          <t>Other Noncurrent Assets</t>
        </is>
      </c>
      <c r="B10" s="4" t="n"/>
      <c r="C10" s="4" t="n"/>
      <c r="D10" s="4" t="n"/>
      <c r="E10" s="4" t="n"/>
      <c r="F10" s="4" t="n"/>
    </row>
    <row r="11">
      <c r="A11" s="3" t="inlineStr">
        <is>
          <t>Total Assets</t>
        </is>
      </c>
      <c r="B11" s="4">
        <f>B8+B9+B10</f>
        <v/>
      </c>
      <c r="C11" s="4">
        <f>C8+C9+C10</f>
        <v/>
      </c>
      <c r="D11" s="4">
        <f>D8+D9+D10</f>
        <v/>
      </c>
      <c r="E11" s="4">
        <f>E8+E9+E10</f>
        <v/>
      </c>
      <c r="F11" s="4">
        <f>F8+F9+F10</f>
        <v/>
      </c>
    </row>
    <row r="12">
      <c r="A12" s="3" t="inlineStr">
        <is>
          <t>Accounts Payable</t>
        </is>
      </c>
      <c r="B12" s="4" t="n"/>
      <c r="C12" s="4" t="n"/>
      <c r="D12" s="4" t="n"/>
      <c r="E12" s="4" t="n"/>
      <c r="F12" s="4" t="n"/>
    </row>
    <row r="13">
      <c r="A13" s="3" t="inlineStr">
        <is>
          <t>Short-term Debt</t>
        </is>
      </c>
      <c r="B13" s="4" t="n"/>
      <c r="C13" s="4" t="n"/>
      <c r="D13" s="4" t="n"/>
      <c r="E13" s="4" t="n"/>
      <c r="F13" s="4" t="n"/>
    </row>
    <row r="14">
      <c r="A14" s="3" t="inlineStr">
        <is>
          <t>Other Current Liabilities</t>
        </is>
      </c>
      <c r="B14" s="4" t="n"/>
      <c r="C14" s="4" t="n"/>
      <c r="D14" s="4" t="n"/>
      <c r="E14" s="4" t="n"/>
      <c r="F14" s="4" t="n"/>
    </row>
    <row r="15">
      <c r="A15" s="3" t="inlineStr">
        <is>
          <t>Total Current Liabilities</t>
        </is>
      </c>
      <c r="B15" s="4">
        <f>SUM(B12:B14)</f>
        <v/>
      </c>
      <c r="C15" s="4">
        <f>SUM(C12:C14)</f>
        <v/>
      </c>
      <c r="D15" s="4">
        <f>SUM(D12:D14)</f>
        <v/>
      </c>
      <c r="E15" s="4">
        <f>SUM(E12:E14)</f>
        <v/>
      </c>
      <c r="F15" s="4">
        <f>SUM(F12:F14)</f>
        <v/>
      </c>
    </row>
    <row r="16">
      <c r="A16" s="3" t="inlineStr">
        <is>
          <t>Long-term Debt</t>
        </is>
      </c>
      <c r="B16" s="4" t="n"/>
      <c r="C16" s="4" t="n"/>
      <c r="D16" s="4" t="n"/>
      <c r="E16" s="4" t="n"/>
      <c r="F16" s="4" t="n"/>
    </row>
    <row r="17">
      <c r="A17" s="3" t="inlineStr">
        <is>
          <t>Other Noncurrent Liabilities</t>
        </is>
      </c>
      <c r="B17" s="4" t="n"/>
      <c r="C17" s="4" t="n"/>
      <c r="D17" s="4" t="n"/>
      <c r="E17" s="4" t="n"/>
      <c r="F17" s="4" t="n"/>
    </row>
    <row r="18">
      <c r="A18" s="3" t="inlineStr">
        <is>
          <t>Total Liabilities</t>
        </is>
      </c>
      <c r="B18" s="4">
        <f>B15+B16+B17</f>
        <v/>
      </c>
      <c r="C18" s="4">
        <f>C15+C16+C17</f>
        <v/>
      </c>
      <c r="D18" s="4">
        <f>D15+D16+D17</f>
        <v/>
      </c>
      <c r="E18" s="4">
        <f>E15+E16+E17</f>
        <v/>
      </c>
      <c r="F18" s="4">
        <f>F15+F16+F17</f>
        <v/>
      </c>
    </row>
    <row r="19">
      <c r="A19" s="3" t="inlineStr">
        <is>
          <t>Equity</t>
        </is>
      </c>
      <c r="B19" s="4" t="n"/>
      <c r="C19" s="4" t="n"/>
      <c r="D19" s="4" t="n"/>
      <c r="E19" s="4" t="n"/>
      <c r="F19" s="4" t="n"/>
    </row>
    <row r="20">
      <c r="A20" s="3" t="inlineStr">
        <is>
          <t>Total Liabilities + Equity</t>
        </is>
      </c>
      <c r="B20" s="4">
        <f>B18+B19</f>
        <v/>
      </c>
      <c r="C20" s="4">
        <f>C18+C19</f>
        <v/>
      </c>
      <c r="D20" s="4">
        <f>D18+D19</f>
        <v/>
      </c>
      <c r="E20" s="4">
        <f>E18+E19</f>
        <v/>
      </c>
      <c r="F20" s="4">
        <f>F18+F19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Cash Flow Summary</t>
        </is>
      </c>
    </row>
    <row r="3">
      <c r="A3" s="2" t="inlineStr">
        <is>
          <t>Item</t>
        </is>
      </c>
      <c r="B3" s="2" t="inlineStr">
        <is>
          <t>Y-4</t>
        </is>
      </c>
      <c r="C3" s="2" t="inlineStr">
        <is>
          <t>Y-3</t>
        </is>
      </c>
      <c r="D3" s="2" t="inlineStr">
        <is>
          <t>Y-2</t>
        </is>
      </c>
      <c r="E3" s="2" t="inlineStr">
        <is>
          <t>Y-1</t>
        </is>
      </c>
      <c r="F3" s="2" t="inlineStr">
        <is>
          <t>Y</t>
        </is>
      </c>
    </row>
    <row r="4">
      <c r="A4" s="3" t="inlineStr">
        <is>
          <t>Net Income</t>
        </is>
      </c>
      <c r="B4" s="4">
        <f>'Income Statement'!B14</f>
        <v/>
      </c>
      <c r="C4" s="4">
        <f>'Income Statement'!C14</f>
        <v/>
      </c>
      <c r="D4" s="4">
        <f>'Income Statement'!D14</f>
        <v/>
      </c>
      <c r="E4" s="4">
        <f>'Income Statement'!E14</f>
        <v/>
      </c>
      <c r="F4" s="4">
        <f>'Income Statement'!F14</f>
        <v/>
      </c>
    </row>
    <row r="5">
      <c r="A5" s="3" t="inlineStr">
        <is>
          <t>Depreciation</t>
        </is>
      </c>
      <c r="B5" s="4" t="n"/>
      <c r="C5" s="4" t="n"/>
      <c r="D5" s="4" t="n"/>
      <c r="E5" s="4" t="n"/>
      <c r="F5" s="4" t="n"/>
    </row>
    <row r="6">
      <c r="A6" s="3" t="inlineStr">
        <is>
          <t>Change in Working Capital</t>
        </is>
      </c>
      <c r="B6" s="4" t="n"/>
      <c r="C6" s="4" t="n"/>
      <c r="D6" s="4" t="n"/>
      <c r="E6" s="4" t="n"/>
      <c r="F6" s="4" t="n"/>
    </row>
    <row r="7">
      <c r="A7" s="3" t="inlineStr">
        <is>
          <t>Capex</t>
        </is>
      </c>
      <c r="B7" s="4" t="n"/>
      <c r="C7" s="4" t="n"/>
      <c r="D7" s="4" t="n"/>
      <c r="E7" s="4" t="n"/>
      <c r="F7" s="4" t="n"/>
    </row>
    <row r="8">
      <c r="A8" s="3" t="inlineStr">
        <is>
          <t>Free Cash Flow</t>
        </is>
      </c>
      <c r="B8" s="4">
        <f>B4+B5-B6-B7</f>
        <v/>
      </c>
      <c r="C8" s="4">
        <f>C4+C5-C6-C7</f>
        <v/>
      </c>
      <c r="D8" s="4">
        <f>D4+D5-D6-D7</f>
        <v/>
      </c>
      <c r="E8" s="4">
        <f>E4+E5-E6-E7</f>
        <v/>
      </c>
      <c r="F8" s="4">
        <f>F4+F5-F6-F7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Financial Ratios</t>
        </is>
      </c>
    </row>
    <row r="4">
      <c r="A4" s="3" t="inlineStr">
        <is>
          <t>Gross Margin</t>
        </is>
      </c>
      <c r="B4" s="4">
        <f>'Income Statement'!B6/'Income Statement'!B4</f>
        <v/>
      </c>
      <c r="C4" s="4">
        <f>'Income Statement'!C6/'Income Statement'!C4</f>
        <v/>
      </c>
      <c r="D4" s="4">
        <f>'Income Statement'!D6/'Income Statement'!D4</f>
        <v/>
      </c>
      <c r="E4" s="4">
        <f>'Income Statement'!E6/'Income Statement'!E4</f>
        <v/>
      </c>
      <c r="F4" s="4">
        <f>'Income Statement'!F6/'Income Statement'!F4</f>
        <v/>
      </c>
    </row>
    <row r="5">
      <c r="A5" s="3" t="inlineStr">
        <is>
          <t>Operating Margin (EBIT)</t>
        </is>
      </c>
      <c r="B5" s="4">
        <f>'Income Statement'!B10/'Income Statement'!B4</f>
        <v/>
      </c>
      <c r="C5" s="4">
        <f>'Income Statement'!C10/'Income Statement'!C4</f>
        <v/>
      </c>
      <c r="D5" s="4">
        <f>'Income Statement'!D10/'Income Statement'!D4</f>
        <v/>
      </c>
      <c r="E5" s="4">
        <f>'Income Statement'!E10/'Income Statement'!E4</f>
        <v/>
      </c>
      <c r="F5" s="4">
        <f>'Income Statement'!F10/'Income Statement'!F4</f>
        <v/>
      </c>
    </row>
    <row r="6">
      <c r="A6" s="3" t="inlineStr">
        <is>
          <t>Net Profit Margin</t>
        </is>
      </c>
      <c r="B6" s="4">
        <f>'Income Statement'!B14/'Income Statement'!B4</f>
        <v/>
      </c>
      <c r="C6" s="4">
        <f>'Income Statement'!C14/'Income Statement'!C4</f>
        <v/>
      </c>
      <c r="D6" s="4">
        <f>'Income Statement'!D14/'Income Statement'!D4</f>
        <v/>
      </c>
      <c r="E6" s="4">
        <f>'Income Statement'!E14/'Income Statement'!E4</f>
        <v/>
      </c>
      <c r="F6" s="4">
        <f>'Income Statement'!F14/'Income Statement'!F4</f>
        <v/>
      </c>
    </row>
    <row r="7">
      <c r="A7" s="3" t="inlineStr">
        <is>
          <t>Current Ratio</t>
        </is>
      </c>
      <c r="B7" s="4">
        <f>'Balance Sheet'!B8/'Balance Sheet'!B15</f>
        <v/>
      </c>
      <c r="C7" s="4">
        <f>'Balance Sheet'!C8/'Balance Sheet'!C15</f>
        <v/>
      </c>
      <c r="D7" s="4">
        <f>'Balance Sheet'!D8/'Balance Sheet'!D15</f>
        <v/>
      </c>
      <c r="E7" s="4">
        <f>'Balance Sheet'!E8/'Balance Sheet'!E15</f>
        <v/>
      </c>
      <c r="F7" s="4">
        <f>'Balance Sheet'!F8/'Balance Sheet'!F15</f>
        <v/>
      </c>
    </row>
    <row r="8">
      <c r="A8" s="3" t="inlineStr">
        <is>
          <t>Quick Ratio</t>
        </is>
      </c>
      <c r="B8" s="4">
        <f>('Balance Sheet'!B4+'Balance Sheet'!B5)/'Balance Sheet'!B15</f>
        <v/>
      </c>
      <c r="C8" s="4">
        <f>('Balance Sheet'!C4+'Balance Sheet'!C5)/'Balance Sheet'!C15</f>
        <v/>
      </c>
      <c r="D8" s="4">
        <f>('Balance Sheet'!D4+'Balance Sheet'!D5)/'Balance Sheet'!D15</f>
        <v/>
      </c>
      <c r="E8" s="4">
        <f>('Balance Sheet'!E4+'Balance Sheet'!E5)/'Balance Sheet'!E15</f>
        <v/>
      </c>
      <c r="F8" s="4">
        <f>('Balance Sheet'!F4+'Balance Sheet'!F5)/'Balance Sheet'!F15</f>
        <v/>
      </c>
    </row>
    <row r="9">
      <c r="A9" s="3" t="inlineStr">
        <is>
          <t>Debt to Equity</t>
        </is>
      </c>
      <c r="B9" s="4">
        <f>('Balance Sheet'!B13+'Balance Sheet'!B12)/'Balance Sheet'!B19</f>
        <v/>
      </c>
      <c r="C9" s="4">
        <f>('Balance Sheet'!C13+'Balance Sheet'!C12)/'Balance Sheet'!C19</f>
        <v/>
      </c>
      <c r="D9" s="4">
        <f>('Balance Sheet'!D13+'Balance Sheet'!D12)/'Balance Sheet'!D19</f>
        <v/>
      </c>
      <c r="E9" s="4">
        <f>('Balance Sheet'!E13+'Balance Sheet'!E12)/'Balance Sheet'!E19</f>
        <v/>
      </c>
      <c r="F9" s="4">
        <f>('Balance Sheet'!F13+'Balance Sheet'!F12)/'Balance Sheet'!F19</f>
        <v/>
      </c>
    </row>
    <row r="10">
      <c r="A10" s="3" t="inlineStr">
        <is>
          <t>Interest Coverage</t>
        </is>
      </c>
      <c r="B10" s="4">
        <f>'Income Statement'!B10/'Income Statement'!B11</f>
        <v/>
      </c>
      <c r="C10" s="4">
        <f>'Income Statement'!C10/'Income Statement'!C11</f>
        <v/>
      </c>
      <c r="D10" s="4">
        <f>'Income Statement'!D10/'Income Statement'!D11</f>
        <v/>
      </c>
      <c r="E10" s="4">
        <f>'Income Statement'!E10/'Income Statement'!E11</f>
        <v/>
      </c>
      <c r="F10" s="4">
        <f>'Income Statement'!F10/'Income Statement'!F11</f>
        <v/>
      </c>
    </row>
    <row r="11">
      <c r="A11" s="3" t="inlineStr">
        <is>
          <t>Asset Turnover</t>
        </is>
      </c>
      <c r="B11" s="4">
        <f>'Income Statement'!B4/'Balance Sheet'!B11</f>
        <v/>
      </c>
      <c r="C11" s="4">
        <f>'Income Statement'!C4/'Balance Sheet'!C11</f>
        <v/>
      </c>
      <c r="D11" s="4">
        <f>'Income Statement'!D4/'Balance Sheet'!D11</f>
        <v/>
      </c>
      <c r="E11" s="4">
        <f>'Income Statement'!E4/'Balance Sheet'!E11</f>
        <v/>
      </c>
      <c r="F11" s="4">
        <f>'Income Statement'!F4/'Balance Sheet'!F11</f>
        <v/>
      </c>
    </row>
    <row r="12">
      <c r="A12" s="3" t="inlineStr">
        <is>
          <t>Inventory Turnover</t>
        </is>
      </c>
      <c r="B12" s="4">
        <f>'Income Statement'!B5/'Balance Sheet'!B6</f>
        <v/>
      </c>
      <c r="C12" s="4">
        <f>'Income Statement'!C5/'Balance Sheet'!C6</f>
        <v/>
      </c>
      <c r="D12" s="4">
        <f>'Income Statement'!D5/'Balance Sheet'!D6</f>
        <v/>
      </c>
      <c r="E12" s="4">
        <f>'Income Statement'!E5/'Balance Sheet'!E6</f>
        <v/>
      </c>
      <c r="F12" s="4">
        <f>'Income Statement'!F5/'Balance Sheet'!F6</f>
        <v/>
      </c>
    </row>
    <row r="13">
      <c r="A13" s="3" t="inlineStr">
        <is>
          <t>Receivable Days</t>
        </is>
      </c>
      <c r="B13" s="4">
        <f>('Balance Sheet'!B5/'Income Statement'!B4)*365</f>
        <v/>
      </c>
      <c r="C13" s="4">
        <f>('Balance Sheet'!C5/'Income Statement'!C4)*365</f>
        <v/>
      </c>
      <c r="D13" s="4">
        <f>('Balance Sheet'!D5/'Income Statement'!D4)*365</f>
        <v/>
      </c>
      <c r="E13" s="4">
        <f>('Balance Sheet'!E5/'Income Statement'!E4)*365</f>
        <v/>
      </c>
      <c r="F13" s="4">
        <f>('Balance Sheet'!F5/'Income Statement'!F4)*365</f>
        <v/>
      </c>
    </row>
    <row r="14">
      <c r="A14" s="3" t="inlineStr">
        <is>
          <t>Working Capital Cycle</t>
        </is>
      </c>
      <c r="B14" s="4">
        <f>('Balance Sheet'!B6/'Income Statement'!B5)*365+('Balance Sheet'!B5/'Income Statement'!B4)*365-('Balance Sheet'!B12/'Income Statement'!B5)*365</f>
        <v/>
      </c>
      <c r="C14" s="4">
        <f>('Balance Sheet'!C6/'Income Statement'!C5)*365+('Balance Sheet'!C5/'Income Statement'!C4)*365-('Balance Sheet'!C12/'Income Statement'!C5)*365</f>
        <v/>
      </c>
      <c r="D14" s="4">
        <f>('Balance Sheet'!D6/'Income Statement'!D5)*365+('Balance Sheet'!D5/'Income Statement'!D4)*365-('Balance Sheet'!D12/'Income Statement'!D5)*365</f>
        <v/>
      </c>
      <c r="E14" s="4">
        <f>('Balance Sheet'!E6/'Income Statement'!E5)*365+('Balance Sheet'!E5/'Income Statement'!E4)*365-('Balance Sheet'!E12/'Income Statement'!E5)*365</f>
        <v/>
      </c>
      <c r="F14" s="4">
        <f>('Balance Sheet'!F6/'Income Statement'!F5)*365+('Balance Sheet'!F5/'Income Statement'!F4)*365-('Balance Sheet'!F12/'Income Statement'!F5)*365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DuPont ROE Decomposition</t>
        </is>
      </c>
    </row>
    <row r="4">
      <c r="A4" s="3" t="inlineStr">
        <is>
          <t>Net Profit Margin</t>
        </is>
      </c>
      <c r="B4" s="4">
        <f>'Income Statement'!B14/'Income Statement'!B4</f>
        <v/>
      </c>
      <c r="C4" s="4">
        <f>'Income Statement'!C14/'Income Statement'!C4</f>
        <v/>
      </c>
      <c r="D4" s="4">
        <f>'Income Statement'!D14/'Income Statement'!D4</f>
        <v/>
      </c>
      <c r="E4" s="4">
        <f>'Income Statement'!E14/'Income Statement'!E4</f>
        <v/>
      </c>
      <c r="F4" s="4">
        <f>'Income Statement'!F14/'Income Statement'!F4</f>
        <v/>
      </c>
    </row>
    <row r="5">
      <c r="A5" s="3" t="inlineStr">
        <is>
          <t>Asset Turnover</t>
        </is>
      </c>
      <c r="B5" s="4">
        <f>'Income Statement'!B4/'Balance Sheet'!B11</f>
        <v/>
      </c>
      <c r="C5" s="4">
        <f>'Income Statement'!C4/'Balance Sheet'!C11</f>
        <v/>
      </c>
      <c r="D5" s="4">
        <f>'Income Statement'!D4/'Balance Sheet'!D11</f>
        <v/>
      </c>
      <c r="E5" s="4">
        <f>'Income Statement'!E4/'Balance Sheet'!E11</f>
        <v/>
      </c>
      <c r="F5" s="4">
        <f>'Income Statement'!F4/'Balance Sheet'!F11</f>
        <v/>
      </c>
    </row>
    <row r="6">
      <c r="A6" s="3" t="inlineStr">
        <is>
          <t>Equity Multiplier</t>
        </is>
      </c>
      <c r="B6" s="4">
        <f>'Balance Sheet'!B11/'Balance Sheet'!B19</f>
        <v/>
      </c>
      <c r="C6" s="4">
        <f>'Balance Sheet'!C11/'Balance Sheet'!C19</f>
        <v/>
      </c>
      <c r="D6" s="4">
        <f>'Balance Sheet'!D11/'Balance Sheet'!D19</f>
        <v/>
      </c>
      <c r="E6" s="4">
        <f>'Balance Sheet'!E11/'Balance Sheet'!E19</f>
        <v/>
      </c>
      <c r="F6" s="4">
        <f>'Balance Sheet'!F11/'Balance Sheet'!F19</f>
        <v/>
      </c>
    </row>
    <row r="7">
      <c r="A7" s="3" t="inlineStr">
        <is>
          <t>ROE</t>
        </is>
      </c>
      <c r="B7" s="4">
        <f>B4*B5*B6</f>
        <v/>
      </c>
      <c r="C7" s="4">
        <f>C4*C5*C6</f>
        <v/>
      </c>
      <c r="D7" s="4">
        <f>D4*D5*D6</f>
        <v/>
      </c>
      <c r="E7" s="4">
        <f>E4*E5*E6</f>
        <v/>
      </c>
      <c r="F7" s="4">
        <f>F4*F5*F6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2026-02-18T13:22:09Z</dcterms:created>
  <dcterms:modified xmlns:dcterms="http://purl.org/dc/terms/" xmlns:xsi="http://www.w3.org/2001/XMLSchema-instance" xsi:type="dcterms:W3CDTF">2026-02-18T13:22:09Z</dcterms:modified>
</cp:coreProperties>
</file>