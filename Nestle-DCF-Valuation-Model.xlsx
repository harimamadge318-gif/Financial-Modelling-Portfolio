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 Forecast" sheetId="2" state="visible" r:id="rId2"/>
    <sheet xmlns:r="http://schemas.openxmlformats.org/officeDocument/2006/relationships" name="Operating Forecast" sheetId="3" state="visible" r:id="rId3"/>
    <sheet xmlns:r="http://schemas.openxmlformats.org/officeDocument/2006/relationships" name="Free Cash Flow" sheetId="4" state="visible" r:id="rId4"/>
    <sheet xmlns:r="http://schemas.openxmlformats.org/officeDocument/2006/relationships" name="DCF Valuation" sheetId="5" state="visible" r:id="rId5"/>
    <sheet xmlns:r="http://schemas.openxmlformats.org/officeDocument/2006/relationships"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Valuation Assumptions</t>
        </is>
      </c>
    </row>
    <row r="3">
      <c r="A3" s="2" t="inlineStr">
        <is>
          <t>Item</t>
        </is>
      </c>
      <c r="B3" s="2" t="inlineStr">
        <is>
          <t>Value</t>
        </is>
      </c>
    </row>
    <row r="4">
      <c r="A4" t="inlineStr">
        <is>
          <t>Revenue Growth</t>
        </is>
      </c>
      <c r="B4" t="n">
        <v>0.08</v>
      </c>
    </row>
    <row r="5">
      <c r="A5" t="inlineStr">
        <is>
          <t>EBIT Margin</t>
        </is>
      </c>
      <c r="B5" t="n">
        <v>0.22</v>
      </c>
    </row>
    <row r="6">
      <c r="A6" t="inlineStr">
        <is>
          <t>Tax Rate</t>
        </is>
      </c>
      <c r="B6" t="n">
        <v>0.25</v>
      </c>
    </row>
    <row r="7">
      <c r="A7" t="inlineStr">
        <is>
          <t>Depreciation (% of Revenue)</t>
        </is>
      </c>
      <c r="B7" t="n">
        <v>0.04</v>
      </c>
    </row>
    <row r="8">
      <c r="A8" t="inlineStr">
        <is>
          <t>Capex (% of Revenue)</t>
        </is>
      </c>
      <c r="B8" t="n">
        <v>0.05</v>
      </c>
    </row>
    <row r="9">
      <c r="A9" t="inlineStr">
        <is>
          <t>Working Capital (% of Revenue)</t>
        </is>
      </c>
      <c r="B9" t="n">
        <v>0.08</v>
      </c>
    </row>
    <row r="10">
      <c r="A10" t="inlineStr">
        <is>
          <t>WACC</t>
        </is>
      </c>
      <c r="B10" t="n">
        <v>0.11</v>
      </c>
    </row>
    <row r="11">
      <c r="A11" t="inlineStr">
        <is>
          <t>Terminal Growth</t>
        </is>
      </c>
      <c r="B11" t="n">
        <v>0.04</v>
      </c>
    </row>
    <row r="12">
      <c r="A12" t="inlineStr">
        <is>
          <t>Debt</t>
        </is>
      </c>
      <c r="B12" t="n">
        <v>5000000000</v>
      </c>
    </row>
    <row r="13">
      <c r="A13" t="inlineStr">
        <is>
          <t>Cash</t>
        </is>
      </c>
      <c r="B13" t="n">
        <v>1500000000</v>
      </c>
    </row>
    <row r="14">
      <c r="A14" t="inlineStr">
        <is>
          <t>Shares Outstanding</t>
        </is>
      </c>
      <c r="B14" t="n">
        <v>964157160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 Projection</t>
        </is>
      </c>
    </row>
    <row r="3">
      <c r="A3" s="2" t="inlineStr">
        <is>
          <t>Year</t>
        </is>
      </c>
      <c r="B3" s="2" t="inlineStr">
        <is>
          <t>Revenue</t>
        </is>
      </c>
    </row>
    <row r="4">
      <c r="A4" t="inlineStr">
        <is>
          <t>Y1</t>
        </is>
      </c>
      <c r="B4" t="n">
        <v>20000000000</v>
      </c>
    </row>
    <row r="5">
      <c r="A5" t="inlineStr">
        <is>
          <t>Y2</t>
        </is>
      </c>
      <c r="B5">
        <f>B4*(1+Assumptions!B4)</f>
        <v/>
      </c>
    </row>
    <row r="6">
      <c r="A6" t="inlineStr">
        <is>
          <t>Y3</t>
        </is>
      </c>
      <c r="B6">
        <f>B5*(1+Assumptions!B4)</f>
        <v/>
      </c>
    </row>
    <row r="7">
      <c r="A7" t="inlineStr">
        <is>
          <t>Y4</t>
        </is>
      </c>
      <c r="B7">
        <f>B6*(1+Assumptions!B4)</f>
        <v/>
      </c>
    </row>
    <row r="8">
      <c r="A8" t="inlineStr">
        <is>
          <t>Y5</t>
        </is>
      </c>
      <c r="B8">
        <f>B7*(1+Assumptions!B4)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E8"/>
  <sheetViews>
    <sheetView workbookViewId="0">
      <selection activeCell="A1" sqref="A1"/>
    </sheetView>
  </sheetViews>
  <sheetFormatPr baseColWidth="8" defaultRowHeight="15"/>
  <sheetData>
    <row r="4">
      <c r="A4" s="2" t="inlineStr">
        <is>
          <t>Revenue</t>
        </is>
      </c>
      <c r="B4">
        <f>'Revenue Forecast'!B4</f>
        <v/>
      </c>
      <c r="C4" t="inlineStr">
        <is>
          <t>B4*Assumptions!B5</t>
        </is>
      </c>
      <c r="D4" t="inlineStr">
        <is>
          <t>C4*(1-Assumptions!B6)</t>
        </is>
      </c>
      <c r="E4" t="inlineStr">
        <is>
          <t>B4*Assumptions!B7</t>
        </is>
      </c>
    </row>
    <row r="5">
      <c r="A5" s="2" t="inlineStr">
        <is>
          <t>EBIT</t>
        </is>
      </c>
      <c r="B5">
        <f>'Revenue Forecast'!B5</f>
        <v/>
      </c>
      <c r="C5" t="inlineStr">
        <is>
          <t>B5*Assumptions!B5</t>
        </is>
      </c>
      <c r="D5" t="inlineStr">
        <is>
          <t>C5*(1-Assumptions!B6)</t>
        </is>
      </c>
      <c r="E5" t="inlineStr">
        <is>
          <t>B5*Assumptions!B7</t>
        </is>
      </c>
    </row>
    <row r="6">
      <c r="A6" s="2" t="inlineStr">
        <is>
          <t>NOPAT</t>
        </is>
      </c>
      <c r="B6">
        <f>'Revenue Forecast'!B6</f>
        <v/>
      </c>
      <c r="C6" t="inlineStr">
        <is>
          <t>B6*Assumptions!B5</t>
        </is>
      </c>
      <c r="D6" t="inlineStr">
        <is>
          <t>C6*(1-Assumptions!B6)</t>
        </is>
      </c>
      <c r="E6" t="inlineStr">
        <is>
          <t>B6*Assumptions!B7</t>
        </is>
      </c>
    </row>
    <row r="7">
      <c r="A7" s="2" t="inlineStr">
        <is>
          <t>Depreciation</t>
        </is>
      </c>
      <c r="B7">
        <f>'Revenue Forecast'!B7</f>
        <v/>
      </c>
      <c r="C7" t="inlineStr">
        <is>
          <t>B7*Assumptions!B5</t>
        </is>
      </c>
      <c r="D7" t="inlineStr">
        <is>
          <t>C7*(1-Assumptions!B6)</t>
        </is>
      </c>
      <c r="E7" t="inlineStr">
        <is>
          <t>B7*Assumptions!B7</t>
        </is>
      </c>
    </row>
    <row r="8">
      <c r="B8">
        <f>'Revenue Forecast'!B8</f>
        <v/>
      </c>
      <c r="C8" t="inlineStr">
        <is>
          <t>B8*Assumptions!B5</t>
        </is>
      </c>
      <c r="D8" t="inlineStr">
        <is>
          <t>C8*(1-Assumptions!B6)</t>
        </is>
      </c>
      <c r="E8" t="inlineStr">
        <is>
          <t>B8*Assumptions!B7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F8"/>
  <sheetViews>
    <sheetView workbookViewId="0">
      <selection activeCell="A1" sqref="A1"/>
    </sheetView>
  </sheetViews>
  <sheetFormatPr baseColWidth="8" defaultRowHeight="15"/>
  <sheetData>
    <row r="4">
      <c r="A4" s="2" t="inlineStr">
        <is>
          <t>NOPAT</t>
        </is>
      </c>
      <c r="B4">
        <f>'Operating Forecast'!D4</f>
        <v/>
      </c>
      <c r="C4">
        <f>'Operating Forecast'!E4</f>
        <v/>
      </c>
      <c r="D4">
        <f>'Operating Forecast'!B4*Assumptions!B8</f>
        <v/>
      </c>
      <c r="E4">
        <f>'Operating Forecast'!B4*Assumptions!B9</f>
        <v/>
      </c>
      <c r="F4" t="inlineStr">
        <is>
          <t>B4+C4-D4-E4</t>
        </is>
      </c>
    </row>
    <row r="5">
      <c r="A5" s="2" t="inlineStr">
        <is>
          <t>Depreciation</t>
        </is>
      </c>
      <c r="B5">
        <f>'Operating Forecast'!D5</f>
        <v/>
      </c>
      <c r="C5">
        <f>'Operating Forecast'!E5</f>
        <v/>
      </c>
      <c r="D5">
        <f>'Operating Forecast'!B5*Assumptions!B8</f>
        <v/>
      </c>
      <c r="E5">
        <f>('Operating Forecast'!B5-'Operating Forecast'!B4)*Assumptions!B9</f>
        <v/>
      </c>
      <c r="F5" t="inlineStr">
        <is>
          <t>B5+C5-D5-E5</t>
        </is>
      </c>
    </row>
    <row r="6">
      <c r="A6" s="2" t="inlineStr">
        <is>
          <t>Capex</t>
        </is>
      </c>
      <c r="B6">
        <f>'Operating Forecast'!D6</f>
        <v/>
      </c>
      <c r="C6">
        <f>'Operating Forecast'!E6</f>
        <v/>
      </c>
      <c r="D6">
        <f>'Operating Forecast'!B6*Assumptions!B8</f>
        <v/>
      </c>
      <c r="E6">
        <f>('Operating Forecast'!B6-'Operating Forecast'!B5)*Assumptions!B9</f>
        <v/>
      </c>
      <c r="F6" t="inlineStr">
        <is>
          <t>B6+C6-D6-E6</t>
        </is>
      </c>
    </row>
    <row r="7">
      <c r="A7" s="2" t="inlineStr">
        <is>
          <t>Change in WC</t>
        </is>
      </c>
      <c r="B7">
        <f>'Operating Forecast'!D7</f>
        <v/>
      </c>
      <c r="C7">
        <f>'Operating Forecast'!E7</f>
        <v/>
      </c>
      <c r="D7">
        <f>'Operating Forecast'!B7*Assumptions!B8</f>
        <v/>
      </c>
      <c r="E7">
        <f>('Operating Forecast'!B7-'Operating Forecast'!B6)*Assumptions!B9</f>
        <v/>
      </c>
      <c r="F7" t="inlineStr">
        <is>
          <t>B7+C7-D7-E7</t>
        </is>
      </c>
    </row>
    <row r="8">
      <c r="A8" s="2" t="inlineStr">
        <is>
          <t>FCF</t>
        </is>
      </c>
      <c r="B8">
        <f>'Operating Forecast'!D8</f>
        <v/>
      </c>
      <c r="C8">
        <f>'Operating Forecast'!E8</f>
        <v/>
      </c>
      <c r="D8">
        <f>'Operating Forecast'!B8*Assumptions!B8</f>
        <v/>
      </c>
      <c r="E8">
        <f>('Operating Forecast'!B8-'Operating Forecast'!B7)*Assumptions!B9</f>
        <v/>
      </c>
      <c r="F8" t="inlineStr">
        <is>
          <t>B8+C8-D8-E8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DCF Valuation</t>
        </is>
      </c>
    </row>
    <row r="4">
      <c r="A4" t="inlineStr">
        <is>
          <t>Present Value of FCF</t>
        </is>
      </c>
      <c r="B4">
        <f>'Free Cash Flow'!F4/(1+Assumptions!B10)^1</f>
        <v/>
      </c>
    </row>
    <row r="5">
      <c r="B5">
        <f>'Free Cash Flow'!F5/(1+Assumptions!B10)^2</f>
        <v/>
      </c>
    </row>
    <row r="6">
      <c r="B6">
        <f>'Free Cash Flow'!F6/(1+Assumptions!B10)^3</f>
        <v/>
      </c>
    </row>
    <row r="7">
      <c r="B7">
        <f>'Free Cash Flow'!F7/(1+Assumptions!B10)^4</f>
        <v/>
      </c>
    </row>
    <row r="8">
      <c r="B8">
        <f>'Free Cash Flow'!F8/(1+Assumptions!B10)^5</f>
        <v/>
      </c>
    </row>
    <row r="10">
      <c r="A10" t="inlineStr">
        <is>
          <t>Terminal Value</t>
        </is>
      </c>
      <c r="B10">
        <f>('Free Cash Flow'!F8*(1+Assumptions!B11))/(Assumptions!B10-Assumptions!B11)</f>
        <v/>
      </c>
    </row>
    <row r="11">
      <c r="A11" t="inlineStr">
        <is>
          <t>PV Terminal Value</t>
        </is>
      </c>
      <c r="B11">
        <f>B10/(1+Assumptions!B10)^5</f>
        <v/>
      </c>
    </row>
    <row r="13">
      <c r="A13" t="inlineStr">
        <is>
          <t>Enterprise Value</t>
        </is>
      </c>
      <c r="B13">
        <f>SUM(B4:B8)+B11</f>
        <v/>
      </c>
    </row>
    <row r="14">
      <c r="A14" t="inlineStr">
        <is>
          <t>Equity Value</t>
        </is>
      </c>
      <c r="B14">
        <f>B13-Assumptions!B12+Assumptions!B13</f>
        <v/>
      </c>
    </row>
    <row r="15">
      <c r="A15" t="inlineStr">
        <is>
          <t>Intrinsic Value Per Share</t>
        </is>
      </c>
      <c r="B15">
        <f>B14/Assumptions!B14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 Analysis (WACC vs Growth)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2026-02-18T13:52:55Z</dcterms:created>
  <dcterms:modified xmlns:dcterms="http://purl.org/dc/terms/" xmlns:xsi="http://www.w3.org/2001/XMLSchema-instance" xsi:type="dcterms:W3CDTF">2026-02-18T13:52:55Z</dcterms:modified>
</cp:coreProperties>
</file>