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Working Capital" sheetId="3" state="visible" r:id="rId3"/>
    <sheet xmlns:r="http://schemas.openxmlformats.org/officeDocument/2006/relationships" name="Cash Flow" sheetId="4" state="visible" r:id="rId4"/>
    <sheet xmlns:r="http://schemas.openxmlformats.org/officeDocument/2006/relationships" name="Balance She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Assumptions</t>
        </is>
      </c>
    </row>
    <row r="3">
      <c r="A3" s="2" t="inlineStr">
        <is>
          <t>Item</t>
        </is>
      </c>
      <c r="B3" s="2" t="inlineStr">
        <is>
          <t>Value</t>
        </is>
      </c>
    </row>
    <row r="4">
      <c r="A4" t="inlineStr">
        <is>
          <t>Opening Revenue</t>
        </is>
      </c>
      <c r="B4" t="n">
        <v>50000000</v>
      </c>
    </row>
    <row r="5">
      <c r="A5" t="inlineStr">
        <is>
          <t>Revenue growth</t>
        </is>
      </c>
      <c r="B5" t="n">
        <v>0.1</v>
      </c>
    </row>
    <row r="6">
      <c r="A6" t="inlineStr">
        <is>
          <t>COGS % of Revenue</t>
        </is>
      </c>
      <c r="B6" t="n">
        <v>0.6</v>
      </c>
    </row>
    <row r="7">
      <c r="A7" t="inlineStr">
        <is>
          <t>Operating expenses %</t>
        </is>
      </c>
      <c r="B7" t="n">
        <v>0.2</v>
      </c>
    </row>
    <row r="8">
      <c r="A8" t="inlineStr">
        <is>
          <t>Tax rate</t>
        </is>
      </c>
      <c r="B8" t="n">
        <v>0.25</v>
      </c>
    </row>
    <row r="9">
      <c r="A9" t="inlineStr">
        <is>
          <t>Receivable days</t>
        </is>
      </c>
      <c r="B9" t="n">
        <v>45</v>
      </c>
    </row>
    <row r="10">
      <c r="A10" t="inlineStr">
        <is>
          <t>Inventory days</t>
        </is>
      </c>
      <c r="B10" t="n">
        <v>60</v>
      </c>
    </row>
    <row r="11">
      <c r="A11" t="inlineStr">
        <is>
          <t>Payable days</t>
        </is>
      </c>
      <c r="B11" t="n">
        <v>30</v>
      </c>
    </row>
    <row r="12">
      <c r="A12" t="inlineStr">
        <is>
          <t>Annual Capex</t>
        </is>
      </c>
      <c r="B12" t="n">
        <v>2000000</v>
      </c>
    </row>
    <row r="13">
      <c r="A13" t="inlineStr">
        <is>
          <t>Interest rate</t>
        </is>
      </c>
      <c r="B13" t="n">
        <v>0.1</v>
      </c>
    </row>
    <row r="14">
      <c r="A14" t="inlineStr">
        <is>
          <t>Opening Debt</t>
        </is>
      </c>
      <c r="B14" t="n">
        <v>5000000</v>
      </c>
    </row>
    <row r="15">
      <c r="A15" t="inlineStr">
        <is>
          <t>Opening Cash</t>
        </is>
      </c>
      <c r="B15" t="n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F12"/>
  <sheetViews>
    <sheetView workbookViewId="0">
      <selection activeCell="A1" sqref="A1"/>
    </sheetView>
  </sheetViews>
  <sheetFormatPr baseColWidth="8" defaultRowHeight="15"/>
  <sheetData>
    <row r="3">
      <c r="A3" s="2" t="inlineStr">
        <is>
          <t>Item</t>
        </is>
      </c>
      <c r="B3" s="2" t="inlineStr">
        <is>
          <t>Y1</t>
        </is>
      </c>
      <c r="C3" s="2" t="inlineStr">
        <is>
          <t>Y2</t>
        </is>
      </c>
      <c r="D3" s="2" t="inlineStr">
        <is>
          <t>Y3</t>
        </is>
      </c>
      <c r="E3" s="2" t="inlineStr">
        <is>
          <t>Y4</t>
        </is>
      </c>
      <c r="F3" s="2" t="inlineStr">
        <is>
          <t>Y5</t>
        </is>
      </c>
    </row>
    <row r="4">
      <c r="A4" s="2" t="inlineStr">
        <is>
          <t>Revenue</t>
        </is>
      </c>
      <c r="B4">
        <f>Assumptions!B4</f>
        <v/>
      </c>
      <c r="C4">
        <f>B4*(1+Assumptions!B5)</f>
        <v/>
      </c>
      <c r="D4">
        <f>C4*(1+Assumptions!B5)</f>
        <v/>
      </c>
      <c r="E4">
        <f>D4*(1+Assumptions!B5)</f>
        <v/>
      </c>
      <c r="F4">
        <f>E4*(1+Assumptions!B5)</f>
        <v/>
      </c>
    </row>
    <row r="5">
      <c r="A5" s="2" t="inlineStr">
        <is>
          <t>COGS</t>
        </is>
      </c>
      <c r="B5">
        <f>B4*Assumptions!B6</f>
        <v/>
      </c>
      <c r="C5">
        <f>C4*Assumptions!B6</f>
        <v/>
      </c>
      <c r="D5">
        <f>D4*Assumptions!B6</f>
        <v/>
      </c>
      <c r="E5">
        <f>E4*Assumptions!B6</f>
        <v/>
      </c>
      <c r="F5">
        <f>F4*Assumptions!B6</f>
        <v/>
      </c>
    </row>
    <row r="6">
      <c r="A6" s="2" t="inlineStr">
        <is>
          <t>Operating Expenses</t>
        </is>
      </c>
      <c r="B6">
        <f>B4*Assumptions!B7</f>
        <v/>
      </c>
      <c r="C6">
        <f>C4*Assumptions!B7</f>
        <v/>
      </c>
      <c r="D6">
        <f>D4*Assumptions!B7</f>
        <v/>
      </c>
      <c r="E6">
        <f>E4*Assumptions!B7</f>
        <v/>
      </c>
      <c r="F6">
        <f>F4*Assumptions!B7</f>
        <v/>
      </c>
    </row>
    <row r="7">
      <c r="A7" s="2" t="inlineStr">
        <is>
          <t>Depreciation</t>
        </is>
      </c>
      <c r="B7">
        <f>Assumptions!B12/5</f>
        <v/>
      </c>
      <c r="C7">
        <f>Assumptions!B12/5</f>
        <v/>
      </c>
      <c r="D7">
        <f>Assumptions!B12/5</f>
        <v/>
      </c>
      <c r="E7">
        <f>Assumptions!B12/5</f>
        <v/>
      </c>
      <c r="F7">
        <f>Assumptions!B12/5</f>
        <v/>
      </c>
    </row>
    <row r="8">
      <c r="A8" s="2" t="inlineStr">
        <is>
          <t>EBIT</t>
        </is>
      </c>
      <c r="B8">
        <f>B4-B5-B6-B7</f>
        <v/>
      </c>
      <c r="C8">
        <f>C4-C5-C6-C7</f>
        <v/>
      </c>
      <c r="D8">
        <f>D4-D5-D6-D7</f>
        <v/>
      </c>
      <c r="E8">
        <f>E4-E5-E6-E7</f>
        <v/>
      </c>
      <c r="F8">
        <f>F4-F5-F6-F7</f>
        <v/>
      </c>
    </row>
    <row r="9">
      <c r="A9" s="2" t="inlineStr">
        <is>
          <t>Interest</t>
        </is>
      </c>
      <c r="B9">
        <f>Assumptions!B13*Assumptions!B11</f>
        <v/>
      </c>
      <c r="C9">
        <f>Assumptions!B13*Assumptions!B11</f>
        <v/>
      </c>
      <c r="D9">
        <f>Assumptions!B13*Assumptions!B11</f>
        <v/>
      </c>
      <c r="E9">
        <f>Assumptions!B13*Assumptions!B11</f>
        <v/>
      </c>
      <c r="F9">
        <f>Assumptions!B13*Assumptions!B11</f>
        <v/>
      </c>
    </row>
    <row r="10">
      <c r="A10" s="2" t="inlineStr">
        <is>
          <t>EBT</t>
        </is>
      </c>
      <c r="B10">
        <f>B8-B9</f>
        <v/>
      </c>
      <c r="C10">
        <f>C8-C9</f>
        <v/>
      </c>
      <c r="D10">
        <f>D8-D9</f>
        <v/>
      </c>
      <c r="E10">
        <f>E8-E9</f>
        <v/>
      </c>
      <c r="F10">
        <f>F8-F9</f>
        <v/>
      </c>
    </row>
    <row r="11">
      <c r="A11" s="2" t="inlineStr">
        <is>
          <t>Tax</t>
        </is>
      </c>
      <c r="B11">
        <f>IF(B10&gt;0,B10*Assumptions!B8,0)</f>
        <v/>
      </c>
      <c r="C11">
        <f>IF(C10&gt;0,C10*Assumptions!B8,0)</f>
        <v/>
      </c>
      <c r="D11">
        <f>IF(D10&gt;0,D10*Assumptions!B8,0)</f>
        <v/>
      </c>
      <c r="E11">
        <f>IF(E10&gt;0,E10*Assumptions!B8,0)</f>
        <v/>
      </c>
      <c r="F11">
        <f>IF(F10&gt;0,F10*Assumptions!B8,0)</f>
        <v/>
      </c>
    </row>
    <row r="12">
      <c r="A12" s="2" t="inlineStr">
        <is>
          <t>Net Income</t>
        </is>
      </c>
      <c r="B12">
        <f>B10-B11</f>
        <v/>
      </c>
      <c r="C12">
        <f>C10-C11</f>
        <v/>
      </c>
      <c r="D12">
        <f>D10-D11</f>
        <v/>
      </c>
      <c r="E12">
        <f>E10-E11</f>
        <v/>
      </c>
      <c r="F12">
        <f>F10-F11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4:F8"/>
  <sheetViews>
    <sheetView workbookViewId="0">
      <selection activeCell="A1" sqref="A1"/>
    </sheetView>
  </sheetViews>
  <sheetFormatPr baseColWidth="8" defaultRowHeight="15"/>
  <sheetData>
    <row r="4">
      <c r="A4" s="2" t="inlineStr">
        <is>
          <t>Accounts Receivable</t>
        </is>
      </c>
      <c r="B4">
        <f>'Income Statement'!B4*(Assumptions!B9/365)</f>
        <v/>
      </c>
      <c r="C4">
        <f>'Income Statement'!C4*(Assumptions!B9/365)</f>
        <v/>
      </c>
      <c r="D4">
        <f>'Income Statement'!D4*(Assumptions!B9/365)</f>
        <v/>
      </c>
      <c r="E4">
        <f>'Income Statement'!E4*(Assumptions!B9/365)</f>
        <v/>
      </c>
      <c r="F4">
        <f>'Income Statement'!F4*(Assumptions!B9/365)</f>
        <v/>
      </c>
    </row>
    <row r="5">
      <c r="A5" s="2" t="inlineStr">
        <is>
          <t>Inventory</t>
        </is>
      </c>
      <c r="B5">
        <f>'Income Statement'!B5*(Assumptions!B10/365)</f>
        <v/>
      </c>
      <c r="C5">
        <f>'Income Statement'!C5*(Assumptions!B10/365)</f>
        <v/>
      </c>
      <c r="D5">
        <f>'Income Statement'!D5*(Assumptions!B10/365)</f>
        <v/>
      </c>
      <c r="E5">
        <f>'Income Statement'!E5*(Assumptions!B10/365)</f>
        <v/>
      </c>
      <c r="F5">
        <f>'Income Statement'!F5*(Assumptions!B10/365)</f>
        <v/>
      </c>
    </row>
    <row r="6">
      <c r="A6" s="2" t="inlineStr">
        <is>
          <t>Accounts Payable</t>
        </is>
      </c>
      <c r="B6">
        <f>'Income Statement'!B5*(Assumptions!B11/365)</f>
        <v/>
      </c>
      <c r="C6">
        <f>'Income Statement'!C5*(Assumptions!B11/365)</f>
        <v/>
      </c>
      <c r="D6">
        <f>'Income Statement'!D5*(Assumptions!B11/365)</f>
        <v/>
      </c>
      <c r="E6">
        <f>'Income Statement'!E5*(Assumptions!B11/365)</f>
        <v/>
      </c>
      <c r="F6">
        <f>'Income Statement'!F5*(Assumptions!B11/365)</f>
        <v/>
      </c>
    </row>
    <row r="7">
      <c r="A7" s="2" t="inlineStr">
        <is>
          <t>Working Capital</t>
        </is>
      </c>
      <c r="B7">
        <f>B4+B5-B6</f>
        <v/>
      </c>
      <c r="C7">
        <f>C4+C5-C6</f>
        <v/>
      </c>
      <c r="D7">
        <f>D4+D5-D6</f>
        <v/>
      </c>
      <c r="E7">
        <f>E4+E5-E6</f>
        <v/>
      </c>
      <c r="F7">
        <f>F4+F5-F6</f>
        <v/>
      </c>
    </row>
    <row r="8">
      <c r="A8" s="2" t="inlineStr">
        <is>
          <t>Change in WC</t>
        </is>
      </c>
      <c r="B8">
        <f>B7</f>
        <v/>
      </c>
      <c r="C8">
        <f>C7-B7</f>
        <v/>
      </c>
      <c r="D8">
        <f>D7-C7</f>
        <v/>
      </c>
      <c r="E8">
        <f>E7-D7</f>
        <v/>
      </c>
      <c r="F8">
        <f>F7-E7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4:F10"/>
  <sheetViews>
    <sheetView workbookViewId="0">
      <selection activeCell="A1" sqref="A1"/>
    </sheetView>
  </sheetViews>
  <sheetFormatPr baseColWidth="8" defaultRowHeight="15"/>
  <sheetData>
    <row r="4">
      <c r="A4" s="2" t="inlineStr">
        <is>
          <t>Net Income</t>
        </is>
      </c>
      <c r="B4">
        <f>'Income Statement'!B12</f>
        <v/>
      </c>
      <c r="C4">
        <f>'Income Statement'!C12</f>
        <v/>
      </c>
      <c r="D4">
        <f>'Income Statement'!D12</f>
        <v/>
      </c>
      <c r="E4">
        <f>'Income Statement'!E12</f>
        <v/>
      </c>
      <c r="F4">
        <f>'Income Statement'!F12</f>
        <v/>
      </c>
    </row>
    <row r="5">
      <c r="A5" s="2" t="inlineStr">
        <is>
          <t>Depreciation</t>
        </is>
      </c>
      <c r="B5">
        <f>'Income Statement'!B7</f>
        <v/>
      </c>
      <c r="C5">
        <f>'Income Statement'!C7</f>
        <v/>
      </c>
      <c r="D5">
        <f>'Income Statement'!D7</f>
        <v/>
      </c>
      <c r="E5">
        <f>'Income Statement'!E7</f>
        <v/>
      </c>
      <c r="F5">
        <f>'Income Statement'!F7</f>
        <v/>
      </c>
    </row>
    <row r="6">
      <c r="A6" s="2" t="inlineStr">
        <is>
          <t>Change in WC</t>
        </is>
      </c>
      <c r="B6">
        <f>'Working Capital'!B8</f>
        <v/>
      </c>
      <c r="C6">
        <f>'Working Capital'!C8</f>
        <v/>
      </c>
      <c r="D6">
        <f>'Working Capital'!D8</f>
        <v/>
      </c>
      <c r="E6">
        <f>'Working Capital'!E8</f>
        <v/>
      </c>
      <c r="F6">
        <f>'Working Capital'!F8</f>
        <v/>
      </c>
    </row>
    <row r="7">
      <c r="A7" s="2" t="inlineStr">
        <is>
          <t>Operating Cash Flow</t>
        </is>
      </c>
      <c r="B7">
        <f>B4+B5-B6</f>
        <v/>
      </c>
      <c r="C7">
        <f>C4+C5-C6</f>
        <v/>
      </c>
      <c r="D7">
        <f>D4+D5-D6</f>
        <v/>
      </c>
      <c r="E7">
        <f>E4+E5-E6</f>
        <v/>
      </c>
      <c r="F7">
        <f>F4+F5-F6</f>
        <v/>
      </c>
    </row>
    <row r="8">
      <c r="A8" s="2" t="inlineStr">
        <is>
          <t>Capex</t>
        </is>
      </c>
      <c r="B8">
        <f>Assumptions!B12</f>
        <v/>
      </c>
      <c r="C8">
        <f>Assumptions!B12</f>
        <v/>
      </c>
      <c r="D8">
        <f>Assumptions!B12</f>
        <v/>
      </c>
      <c r="E8">
        <f>Assumptions!B12</f>
        <v/>
      </c>
      <c r="F8">
        <f>Assumptions!B12</f>
        <v/>
      </c>
    </row>
    <row r="9">
      <c r="A9" s="2" t="inlineStr">
        <is>
          <t>Free Cash Flow</t>
        </is>
      </c>
      <c r="B9">
        <f>B7-B8</f>
        <v/>
      </c>
      <c r="C9">
        <f>C7-C8</f>
        <v/>
      </c>
      <c r="D9">
        <f>D7-D8</f>
        <v/>
      </c>
      <c r="E9">
        <f>E7-E8</f>
        <v/>
      </c>
      <c r="F9">
        <f>F7-F8</f>
        <v/>
      </c>
    </row>
    <row r="10">
      <c r="A10" s="2" t="inlineStr">
        <is>
          <t>Ending Cash</t>
        </is>
      </c>
      <c r="B10">
        <f>Assumptions!B14+B9</f>
        <v/>
      </c>
      <c r="C10">
        <f>B10+C9</f>
        <v/>
      </c>
      <c r="D10">
        <f>C10+D9</f>
        <v/>
      </c>
      <c r="E10">
        <f>D10+E9</f>
        <v/>
      </c>
      <c r="F10">
        <f>E10+F9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4:F11"/>
  <sheetViews>
    <sheetView workbookViewId="0">
      <selection activeCell="A1" sqref="A1"/>
    </sheetView>
  </sheetViews>
  <sheetFormatPr baseColWidth="8" defaultRowHeight="15"/>
  <sheetData>
    <row r="4">
      <c r="A4" s="2" t="inlineStr">
        <is>
          <t>Cash</t>
        </is>
      </c>
      <c r="B4">
        <f>'Cash Flow'!B10</f>
        <v/>
      </c>
      <c r="C4">
        <f>'Cash Flow'!C10</f>
        <v/>
      </c>
      <c r="D4">
        <f>'Cash Flow'!D10</f>
        <v/>
      </c>
      <c r="E4">
        <f>'Cash Flow'!E10</f>
        <v/>
      </c>
      <c r="F4">
        <f>'Cash Flow'!F10</f>
        <v/>
      </c>
    </row>
    <row r="5">
      <c r="A5" s="2" t="inlineStr">
        <is>
          <t>Accounts Receivable</t>
        </is>
      </c>
      <c r="B5">
        <f>'Working Capital'!B4</f>
        <v/>
      </c>
      <c r="C5">
        <f>'Working Capital'!C4</f>
        <v/>
      </c>
      <c r="D5">
        <f>'Working Capital'!D4</f>
        <v/>
      </c>
      <c r="E5">
        <f>'Working Capital'!E4</f>
        <v/>
      </c>
      <c r="F5">
        <f>'Working Capital'!F4</f>
        <v/>
      </c>
    </row>
    <row r="6">
      <c r="A6" s="2" t="inlineStr">
        <is>
          <t>Inventory</t>
        </is>
      </c>
      <c r="B6">
        <f>'Working Capital'!B5</f>
        <v/>
      </c>
      <c r="C6">
        <f>'Working Capital'!C5</f>
        <v/>
      </c>
      <c r="D6">
        <f>'Working Capital'!D5</f>
        <v/>
      </c>
      <c r="E6">
        <f>'Working Capital'!E5</f>
        <v/>
      </c>
      <c r="F6">
        <f>'Working Capital'!F5</f>
        <v/>
      </c>
    </row>
    <row r="7">
      <c r="A7" s="2" t="inlineStr">
        <is>
          <t>PP&amp;E</t>
        </is>
      </c>
      <c r="B7">
        <f>Assumptions!B12</f>
        <v/>
      </c>
      <c r="C7">
        <f>B7+Assumptions!B12-'Income Statement'!C7</f>
        <v/>
      </c>
      <c r="D7">
        <f>C7+Assumptions!B12-'Income Statement'!D7</f>
        <v/>
      </c>
      <c r="E7">
        <f>D7+Assumptions!B12-'Income Statement'!E7</f>
        <v/>
      </c>
      <c r="F7">
        <f>E7+Assumptions!B12-'Income Statement'!F7</f>
        <v/>
      </c>
    </row>
    <row r="8">
      <c r="A8" s="2" t="inlineStr">
        <is>
          <t>Total Assets</t>
        </is>
      </c>
      <c r="B8">
        <f>SUM(B4:B7)</f>
        <v/>
      </c>
      <c r="C8">
        <f>SUM(C4:C7)</f>
        <v/>
      </c>
      <c r="D8">
        <f>SUM(D4:D7)</f>
        <v/>
      </c>
      <c r="E8">
        <f>SUM(E4:E7)</f>
        <v/>
      </c>
      <c r="F8">
        <f>SUM(F4:F7)</f>
        <v/>
      </c>
    </row>
    <row r="9">
      <c r="A9" s="2" t="inlineStr">
        <is>
          <t>Debt</t>
        </is>
      </c>
      <c r="B9">
        <f>Assumptions!B13</f>
        <v/>
      </c>
      <c r="C9">
        <f>Assumptions!B13</f>
        <v/>
      </c>
      <c r="D9">
        <f>Assumptions!B13</f>
        <v/>
      </c>
      <c r="E9">
        <f>Assumptions!B13</f>
        <v/>
      </c>
      <c r="F9">
        <f>Assumptions!B13</f>
        <v/>
      </c>
    </row>
    <row r="10">
      <c r="A10" s="2" t="inlineStr">
        <is>
          <t>Equity</t>
        </is>
      </c>
      <c r="B10">
        <f>'Income Statement'!B12</f>
        <v/>
      </c>
      <c r="C10">
        <f>B10+'Income Statement'!C12</f>
        <v/>
      </c>
      <c r="D10">
        <f>C10+'Income Statement'!D12</f>
        <v/>
      </c>
      <c r="E10">
        <f>D10+'Income Statement'!E12</f>
        <v/>
      </c>
      <c r="F10">
        <f>E10+'Income Statement'!F12</f>
        <v/>
      </c>
    </row>
    <row r="11">
      <c r="A11" s="2" t="inlineStr">
        <is>
          <t>Total Liab+Equity</t>
        </is>
      </c>
      <c r="B11">
        <f>B9+B10</f>
        <v/>
      </c>
      <c r="C11">
        <f>C9+C10</f>
        <v/>
      </c>
      <c r="D11">
        <f>D9+D10</f>
        <v/>
      </c>
      <c r="E11">
        <f>E9+E10</f>
        <v/>
      </c>
      <c r="F11">
        <f>F9+F10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2026-02-18T13:46:54Z</dcterms:created>
  <dcterms:modified xmlns:dcterms="http://purl.org/dc/terms/" xmlns:xsi="http://www.w3.org/2001/XMLSchema-instance" xsi:type="dcterms:W3CDTF">2026-02-18T13:46:54Z</dcterms:modified>
</cp:coreProperties>
</file>