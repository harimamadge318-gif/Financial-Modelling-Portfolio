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ransaction" sheetId="2" state="visible" r:id="rId2"/>
    <sheet xmlns:r="http://schemas.openxmlformats.org/officeDocument/2006/relationships" name="Pro Forma Earnings" sheetId="3" state="visible" r:id="rId3"/>
    <sheet xmlns:r="http://schemas.openxmlformats.org/officeDocument/2006/relationships" name="EPS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Assumptions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t="inlineStr">
        <is>
          <t>ITC Net Income (₹ cr)</t>
        </is>
      </c>
      <c r="B4" t="n">
        <v>20000</v>
      </c>
    </row>
    <row r="5">
      <c r="A5" t="inlineStr">
        <is>
          <t>ITC Shares (cr)</t>
        </is>
      </c>
      <c r="B5" t="n">
        <v>1250</v>
      </c>
    </row>
    <row r="6">
      <c r="A6" t="inlineStr">
        <is>
          <t>Britannia Net Income (₹ cr)</t>
        </is>
      </c>
      <c r="B6" t="n">
        <v>2000</v>
      </c>
    </row>
    <row r="7">
      <c r="A7" t="inlineStr">
        <is>
          <t>Britannia Shares (cr)</t>
        </is>
      </c>
      <c r="B7" t="n">
        <v>12</v>
      </c>
    </row>
    <row r="8">
      <c r="A8" t="inlineStr">
        <is>
          <t>Acquisition Premium</t>
        </is>
      </c>
      <c r="B8" t="n">
        <v>0.25</v>
      </c>
    </row>
    <row r="9">
      <c r="A9" t="inlineStr">
        <is>
          <t>Synergies (₹ cr)</t>
        </is>
      </c>
      <c r="B9" t="n">
        <v>500</v>
      </c>
    </row>
    <row r="10">
      <c r="A10" t="inlineStr">
        <is>
          <t>Debt Financing %</t>
        </is>
      </c>
      <c r="B10" t="n">
        <v>0.6</v>
      </c>
    </row>
    <row r="11">
      <c r="A11" t="inlineStr">
        <is>
          <t>Interest Rate</t>
        </is>
      </c>
      <c r="B11" t="n">
        <v>0.09</v>
      </c>
    </row>
    <row r="12">
      <c r="A12" t="inlineStr">
        <is>
          <t>Tax Rate</t>
        </is>
      </c>
      <c r="B12" t="n">
        <v>0.25</v>
      </c>
    </row>
    <row r="13">
      <c r="A13" t="inlineStr">
        <is>
          <t>Equity Financing %</t>
        </is>
      </c>
      <c r="B13" t="n">
        <v>0.4</v>
      </c>
    </row>
    <row r="14">
      <c r="A14" t="inlineStr">
        <is>
          <t>Offer Price per Share (₹)</t>
        </is>
      </c>
      <c r="B1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Consideration</t>
        </is>
      </c>
    </row>
    <row r="3">
      <c r="A3" t="inlineStr">
        <is>
          <t>Target Equity Value (₹ cr)</t>
        </is>
      </c>
      <c r="B3">
        <f>Assumptions!B7*Assumptions!B6</f>
        <v/>
      </c>
    </row>
    <row r="4">
      <c r="A4" t="inlineStr">
        <is>
          <t>Premium Adjusted Price</t>
        </is>
      </c>
      <c r="B4">
        <f>B3*(1+Assumptions!B8)</f>
        <v/>
      </c>
    </row>
    <row r="6">
      <c r="A6" t="inlineStr">
        <is>
          <t>Debt Financing</t>
        </is>
      </c>
      <c r="B6">
        <f>B4*Assumptions!B10</f>
        <v/>
      </c>
    </row>
    <row r="7">
      <c r="A7" t="inlineStr">
        <is>
          <t>Equity Financing</t>
        </is>
      </c>
      <c r="B7">
        <f>B4*Assumptions!B12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 Forma Earnings</t>
        </is>
      </c>
    </row>
    <row r="3">
      <c r="A3" t="inlineStr">
        <is>
          <t>ITC Net Income</t>
        </is>
      </c>
      <c r="B3">
        <f>Assumptions!B4</f>
        <v/>
      </c>
    </row>
    <row r="4">
      <c r="A4" t="inlineStr">
        <is>
          <t>Britannia Net Income</t>
        </is>
      </c>
      <c r="B4">
        <f>Assumptions!B6</f>
        <v/>
      </c>
    </row>
    <row r="5">
      <c r="A5" t="inlineStr">
        <is>
          <t>Synergies</t>
        </is>
      </c>
      <c r="B5">
        <f>Assumptions!B9</f>
        <v/>
      </c>
    </row>
    <row r="6">
      <c r="A6" t="inlineStr">
        <is>
          <t>Interest Expense</t>
        </is>
      </c>
      <c r="B6">
        <f>Transaction!B6*Assumptions!B11</f>
        <v/>
      </c>
    </row>
    <row r="7">
      <c r="A7" t="inlineStr">
        <is>
          <t>After-tax Interest</t>
        </is>
      </c>
      <c r="B7">
        <f>B6*(1-Assumptions!B12)</f>
        <v/>
      </c>
    </row>
    <row r="8">
      <c r="A8" t="inlineStr">
        <is>
          <t>Combined Net Income</t>
        </is>
      </c>
      <c r="B8">
        <f>B3+B4+B5-B7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 Accretion/Dilution</t>
        </is>
      </c>
    </row>
    <row r="3">
      <c r="A3" t="inlineStr">
        <is>
          <t>Pre-Merger EPS</t>
        </is>
      </c>
      <c r="B3">
        <f>Assumptions!B4/Assumptions!B5</f>
        <v/>
      </c>
    </row>
    <row r="4">
      <c r="A4" t="inlineStr">
        <is>
          <t>New Shares Issued</t>
        </is>
      </c>
      <c r="B4">
        <f>Transaction!B7/Assumptions!B13</f>
        <v/>
      </c>
    </row>
    <row r="5">
      <c r="A5" t="inlineStr">
        <is>
          <t>Post-Merger Shares</t>
        </is>
      </c>
      <c r="B5">
        <f>Assumptions!B5+B4</f>
        <v/>
      </c>
    </row>
    <row r="6">
      <c r="A6" t="inlineStr">
        <is>
          <t>Post-Merger EPS</t>
        </is>
      </c>
      <c r="B6">
        <f>'Pro Forma Earnings'!B8/B5</f>
        <v/>
      </c>
    </row>
    <row r="7">
      <c r="A7" t="inlineStr">
        <is>
          <t>Accretion / Dilution %</t>
        </is>
      </c>
      <c r="B7">
        <f>(B6-B3)/B3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2026-02-18T14:19:06Z</dcterms:created>
  <dcterms:modified xmlns:dcterms="http://purl.org/dc/terms/" xmlns:xsi="http://www.w3.org/2001/XMLSchema-instance" xsi:type="dcterms:W3CDTF">2026-02-18T14:19:06Z</dcterms:modified>
</cp:coreProperties>
</file>